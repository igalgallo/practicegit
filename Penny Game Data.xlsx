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GNGWENO\Desktop\"/>
    </mc:Choice>
  </mc:AlternateContent>
  <bookViews>
    <workbookView xWindow="0" yWindow="465" windowWidth="25605" windowHeight="14355"/>
  </bookViews>
  <sheets>
    <sheet name="Sheet1" sheetId="1" r:id="rId1"/>
    <sheet name="Sheet3" sheetId="3" r:id="rId2"/>
    <sheet name="Sheet4" sheetId="4" r:id="rId3"/>
  </sheets>
  <calcPr calcId="152511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3" l="1"/>
  <c r="E3" i="3"/>
  <c r="D3" i="3"/>
  <c r="C3" i="3"/>
  <c r="F2" i="3"/>
  <c r="E2" i="3"/>
  <c r="D2" i="3"/>
  <c r="C2" i="3"/>
  <c r="E7" i="1"/>
  <c r="F7" i="1" s="1"/>
  <c r="E6" i="1"/>
  <c r="F6" i="1" s="1"/>
  <c r="E5" i="1"/>
  <c r="F5" i="1" s="1"/>
  <c r="E4" i="1"/>
  <c r="F4" i="1" s="1"/>
</calcChain>
</file>

<file path=xl/sharedStrings.xml><?xml version="1.0" encoding="utf-8"?>
<sst xmlns="http://schemas.openxmlformats.org/spreadsheetml/2006/main" count="34" uniqueCount="24">
  <si>
    <t>Client Lead Time 1</t>
  </si>
  <si>
    <t>CEO Lead Time 20</t>
  </si>
  <si>
    <t>Annual Revenue</t>
  </si>
  <si>
    <t>Batch 20</t>
  </si>
  <si>
    <t>Batch 5</t>
  </si>
  <si>
    <t>Batch 1 push</t>
  </si>
  <si>
    <t>Batch 1 pull</t>
  </si>
  <si>
    <t>Batch Revenue 20</t>
  </si>
  <si>
    <t>Business</t>
  </si>
  <si>
    <t>Test and Deploy</t>
  </si>
  <si>
    <t>Dev 1</t>
  </si>
  <si>
    <t>Row Labels</t>
  </si>
  <si>
    <t>Grand Total</t>
  </si>
  <si>
    <t>Lead time</t>
  </si>
  <si>
    <t>Sum of Batch 20</t>
  </si>
  <si>
    <t>Batch 1 pull + toc</t>
  </si>
  <si>
    <t>"</t>
  </si>
  <si>
    <t xml:space="preserve">Dev 2 </t>
  </si>
  <si>
    <t>CEO Lead Time</t>
  </si>
  <si>
    <t>Client Lead Time</t>
  </si>
  <si>
    <t>Touch Time</t>
  </si>
  <si>
    <t>20#Cycles Per yr</t>
  </si>
  <si>
    <t>Batch 1 pull + tester</t>
  </si>
  <si>
    <t>extra 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</si>
</sst>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USD]\ #,##0"/>
  </numFmts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 applyAlignment="1">
      <alignment horizontal="center" vertical="center"/>
    </xf>
    <xf numFmtId="0" fontId="0" fillId="3" borderId="0" xfId="0" applyFill="1"/>
    <xf numFmtId="164" fontId="0" fillId="3" borderId="0" xfId="0" applyNumberForma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Touch time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Sheet1!$B$12</c:f>
              <c:strCache>
                <c:ptCount val="1"/>
                <c:pt idx="0">
                  <c:v>Batch 20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Sheet1!$C$11:$F$11</c:f>
              <c:strCache>
                <c:ptCount val="4"/>
                <c:pt idx="0">
                  <c:v>Business</c:v>
                </c:pt>
                <c:pt idx="1">
                  <c:v>Dev 1</c:v>
                </c:pt>
                <c:pt idx="2">
                  <c:v>Dev 2 </c:v>
                </c:pt>
                <c:pt idx="3">
                  <c:v>Test and Deploy</c:v>
                </c:pt>
              </c:strCache>
            </c:strRef>
          </c:cat>
          <c:val>
            <c:numRef>
              <c:f>Sheet1!$C$12:$F$12</c:f>
              <c:numCache>
                <c:formatCode>General</c:formatCode>
                <c:ptCount val="4"/>
                <c:pt idx="0">
                  <c:v>25</c:v>
                </c:pt>
                <c:pt idx="1">
                  <c:v>16</c:v>
                </c:pt>
                <c:pt idx="2">
                  <c:v>17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6E4-3C40-B79B-306739B484BD}"/>
            </c:ext>
          </c:extLst>
        </c:ser>
        <c:ser>
          <c:idx val="1"/>
          <c:order val="1"/>
          <c:tx>
            <c:strRef>
              <c:f>Sheet1!$B$13</c:f>
              <c:strCache>
                <c:ptCount val="1"/>
                <c:pt idx="0">
                  <c:v>Batch 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Sheet1!$C$11:$F$11</c:f>
              <c:strCache>
                <c:ptCount val="4"/>
                <c:pt idx="0">
                  <c:v>Business</c:v>
                </c:pt>
                <c:pt idx="1">
                  <c:v>Dev 1</c:v>
                </c:pt>
                <c:pt idx="2">
                  <c:v>Dev 2 </c:v>
                </c:pt>
                <c:pt idx="3">
                  <c:v>Test and Deploy</c:v>
                </c:pt>
              </c:strCache>
            </c:strRef>
          </c:cat>
          <c:val>
            <c:numRef>
              <c:f>Sheet1!$C$13:$F$13</c:f>
              <c:numCache>
                <c:formatCode>General</c:formatCode>
                <c:ptCount val="4"/>
                <c:pt idx="0">
                  <c:v>18</c:v>
                </c:pt>
                <c:pt idx="1">
                  <c:v>19</c:v>
                </c:pt>
                <c:pt idx="2">
                  <c:v>18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06E4-3C40-B79B-306739B484BD}"/>
            </c:ext>
          </c:extLst>
        </c:ser>
        <c:ser>
          <c:idx val="2"/>
          <c:order val="2"/>
          <c:tx>
            <c:strRef>
              <c:f>Sheet1!$B$14</c:f>
              <c:strCache>
                <c:ptCount val="1"/>
                <c:pt idx="0">
                  <c:v>Batch 1 push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Sheet1!$C$11:$F$11</c:f>
              <c:strCache>
                <c:ptCount val="4"/>
                <c:pt idx="0">
                  <c:v>Business</c:v>
                </c:pt>
                <c:pt idx="1">
                  <c:v>Dev 1</c:v>
                </c:pt>
                <c:pt idx="2">
                  <c:v>Dev 2 </c:v>
                </c:pt>
                <c:pt idx="3">
                  <c:v>Test and Deploy</c:v>
                </c:pt>
              </c:strCache>
            </c:strRef>
          </c:cat>
          <c:val>
            <c:numRef>
              <c:f>Sheet1!$C$14:$F$14</c:f>
              <c:numCache>
                <c:formatCode>General</c:formatCode>
                <c:ptCount val="4"/>
                <c:pt idx="0">
                  <c:v>26</c:v>
                </c:pt>
                <c:pt idx="1">
                  <c:v>25</c:v>
                </c:pt>
                <c:pt idx="2">
                  <c:v>25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06E4-3C40-B79B-306739B484BD}"/>
            </c:ext>
          </c:extLst>
        </c:ser>
        <c:ser>
          <c:idx val="3"/>
          <c:order val="3"/>
          <c:tx>
            <c:strRef>
              <c:f>Sheet1!$B$15</c:f>
              <c:strCache>
                <c:ptCount val="1"/>
                <c:pt idx="0">
                  <c:v>Batch 1 pull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Sheet1!$C$11:$F$11</c:f>
              <c:strCache>
                <c:ptCount val="4"/>
                <c:pt idx="0">
                  <c:v>Business</c:v>
                </c:pt>
                <c:pt idx="1">
                  <c:v>Dev 1</c:v>
                </c:pt>
                <c:pt idx="2">
                  <c:v>Dev 2 </c:v>
                </c:pt>
                <c:pt idx="3">
                  <c:v>Test and Deploy</c:v>
                </c:pt>
              </c:strCache>
            </c:strRef>
          </c:cat>
          <c:val>
            <c:numRef>
              <c:f>Sheet1!$C$15:$F$15</c:f>
              <c:numCache>
                <c:formatCode>General</c:formatCode>
                <c:ptCount val="4"/>
                <c:pt idx="0">
                  <c:v>38</c:v>
                </c:pt>
                <c:pt idx="1">
                  <c:v>38</c:v>
                </c:pt>
                <c:pt idx="2">
                  <c:v>37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06E4-3C40-B79B-306739B484BD}"/>
            </c:ext>
          </c:extLst>
        </c:ser>
        <c:ser>
          <c:idx val="4"/>
          <c:order val="4"/>
          <c:tx>
            <c:strRef>
              <c:f>Sheet1!$B$16</c:f>
              <c:strCache>
                <c:ptCount val="1"/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Sheet1!$C$11:$F$11</c:f>
              <c:strCache>
                <c:ptCount val="4"/>
                <c:pt idx="0">
                  <c:v>Business</c:v>
                </c:pt>
                <c:pt idx="1">
                  <c:v>Dev 1</c:v>
                </c:pt>
                <c:pt idx="2">
                  <c:v>Dev 2 </c:v>
                </c:pt>
                <c:pt idx="3">
                  <c:v>Test and Deploy</c:v>
                </c:pt>
              </c:strCache>
            </c:strRef>
          </c:cat>
          <c:val>
            <c:numRef>
              <c:f>Sheet1!$C$16:$F$16</c:f>
              <c:numCache>
                <c:formatCode>General</c:formatCode>
                <c:ptCount val="4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06E4-3C40-B79B-306739B484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5224616"/>
        <c:axId val="285225008"/>
      </c:barChart>
      <c:catAx>
        <c:axId val="285224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225008"/>
        <c:crosses val="autoZero"/>
        <c:auto val="1"/>
        <c:lblAlgn val="ctr"/>
        <c:lblOffset val="100"/>
        <c:noMultiLvlLbl val="0"/>
      </c:catAx>
      <c:valAx>
        <c:axId val="285225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224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Sheet3!$B$2</c:f>
              <c:strCache>
                <c:ptCount val="1"/>
                <c:pt idx="0">
                  <c:v>Client Lead Time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Sheet3!$C$1:$F$1</c:f>
              <c:strCache>
                <c:ptCount val="4"/>
                <c:pt idx="0">
                  <c:v>Batch 20</c:v>
                </c:pt>
                <c:pt idx="1">
                  <c:v>Batch 5</c:v>
                </c:pt>
                <c:pt idx="2">
                  <c:v>Batch 1 push</c:v>
                </c:pt>
                <c:pt idx="3">
                  <c:v>Batch 1 pull</c:v>
                </c:pt>
              </c:strCache>
            </c:strRef>
          </c:cat>
          <c:val>
            <c:numRef>
              <c:f>Sheet3!$C$2:$F$2</c:f>
              <c:numCache>
                <c:formatCode>General</c:formatCode>
                <c:ptCount val="4"/>
                <c:pt idx="0">
                  <c:v>105</c:v>
                </c:pt>
                <c:pt idx="1">
                  <c:v>28</c:v>
                </c:pt>
                <c:pt idx="2">
                  <c:v>28</c:v>
                </c:pt>
                <c:pt idx="3">
                  <c:v>35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5E8A-9843-A93E-6D6F69D1A1A9}"/>
            </c:ext>
          </c:extLst>
        </c:ser>
        <c:ser>
          <c:idx val="1"/>
          <c:order val="1"/>
          <c:tx>
            <c:strRef>
              <c:f>Sheet3!$B$3</c:f>
              <c:strCache>
                <c:ptCount val="1"/>
                <c:pt idx="0">
                  <c:v>CEO Lead Time 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Sheet3!$C$1:$F$1</c:f>
              <c:strCache>
                <c:ptCount val="4"/>
                <c:pt idx="0">
                  <c:v>Batch 20</c:v>
                </c:pt>
                <c:pt idx="1">
                  <c:v>Batch 5</c:v>
                </c:pt>
                <c:pt idx="2">
                  <c:v>Batch 1 push</c:v>
                </c:pt>
                <c:pt idx="3">
                  <c:v>Batch 1 pull</c:v>
                </c:pt>
              </c:strCache>
            </c:strRef>
          </c:cat>
          <c:val>
            <c:numRef>
              <c:f>Sheet3!$C$3:$F$3</c:f>
              <c:numCache>
                <c:formatCode>General</c:formatCode>
                <c:ptCount val="4"/>
                <c:pt idx="0">
                  <c:v>105</c:v>
                </c:pt>
                <c:pt idx="1">
                  <c:v>10</c:v>
                </c:pt>
                <c:pt idx="2">
                  <c:v>4</c:v>
                </c:pt>
                <c:pt idx="3">
                  <c:v>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5E8A-9843-A93E-6D6F69D1A1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2352504"/>
        <c:axId val="282352896"/>
      </c:lineChart>
      <c:catAx>
        <c:axId val="282352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2352896"/>
        <c:crosses val="autoZero"/>
        <c:auto val="1"/>
        <c:lblAlgn val="ctr"/>
        <c:lblOffset val="100"/>
        <c:noMultiLvlLbl val="0"/>
      </c:catAx>
      <c:valAx>
        <c:axId val="282352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2352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Sheet3!$B$2</c:f>
              <c:strCache>
                <c:ptCount val="1"/>
                <c:pt idx="0">
                  <c:v>Client Lead Time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Sheet3!$C$1:$G$1</c:f>
              <c:strCache>
                <c:ptCount val="5"/>
                <c:pt idx="0">
                  <c:v>Batch 20</c:v>
                </c:pt>
                <c:pt idx="1">
                  <c:v>Batch 5</c:v>
                </c:pt>
                <c:pt idx="2">
                  <c:v>Batch 1 push</c:v>
                </c:pt>
                <c:pt idx="3">
                  <c:v>Batch 1 pull</c:v>
                </c:pt>
                <c:pt idx="4">
                  <c:v>Batch 1 pull + toc</c:v>
                </c:pt>
              </c:strCache>
            </c:strRef>
          </c:cat>
          <c:val>
            <c:numRef>
              <c:f>Sheet3!$C$2:$G$2</c:f>
              <c:numCache>
                <c:formatCode>General</c:formatCode>
                <c:ptCount val="5"/>
                <c:pt idx="0">
                  <c:v>105</c:v>
                </c:pt>
                <c:pt idx="1">
                  <c:v>28</c:v>
                </c:pt>
                <c:pt idx="2">
                  <c:v>28</c:v>
                </c:pt>
                <c:pt idx="3">
                  <c:v>35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C0B7-2548-93FE-728A38F9C505}"/>
            </c:ext>
          </c:extLst>
        </c:ser>
        <c:ser>
          <c:idx val="1"/>
          <c:order val="1"/>
          <c:tx>
            <c:strRef>
              <c:f>Sheet3!$B$3</c:f>
              <c:strCache>
                <c:ptCount val="1"/>
                <c:pt idx="0">
                  <c:v>CEO Lead Time 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Sheet3!$C$1:$G$1</c:f>
              <c:strCache>
                <c:ptCount val="5"/>
                <c:pt idx="0">
                  <c:v>Batch 20</c:v>
                </c:pt>
                <c:pt idx="1">
                  <c:v>Batch 5</c:v>
                </c:pt>
                <c:pt idx="2">
                  <c:v>Batch 1 push</c:v>
                </c:pt>
                <c:pt idx="3">
                  <c:v>Batch 1 pull</c:v>
                </c:pt>
                <c:pt idx="4">
                  <c:v>Batch 1 pull + toc</c:v>
                </c:pt>
              </c:strCache>
            </c:strRef>
          </c:cat>
          <c:val>
            <c:numRef>
              <c:f>Sheet3!$C$3:$G$3</c:f>
              <c:numCache>
                <c:formatCode>General</c:formatCode>
                <c:ptCount val="5"/>
                <c:pt idx="0">
                  <c:v>105</c:v>
                </c:pt>
                <c:pt idx="1">
                  <c:v>10</c:v>
                </c:pt>
                <c:pt idx="2">
                  <c:v>4</c:v>
                </c:pt>
                <c:pt idx="3">
                  <c:v>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C0B7-2548-93FE-728A38F9C5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5226184"/>
        <c:axId val="285226576"/>
      </c:lineChart>
      <c:catAx>
        <c:axId val="285226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226576"/>
        <c:crosses val="autoZero"/>
        <c:auto val="1"/>
        <c:lblAlgn val="ctr"/>
        <c:lblOffset val="100"/>
        <c:noMultiLvlLbl val="0"/>
      </c:catAx>
      <c:valAx>
        <c:axId val="285226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226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[Penny Game Data.xlsx]Sheet4!PivotTable12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Sheet4!$D$4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Sheet4!$C$5:$C$7</c:f>
              <c:strCache>
                <c:ptCount val="2"/>
                <c:pt idx="0">
                  <c:v>CEO Lead Time 20</c:v>
                </c:pt>
                <c:pt idx="1">
                  <c:v>Client Lead Time 1</c:v>
                </c:pt>
              </c:strCache>
            </c:strRef>
          </c:cat>
          <c:val>
            <c:numRef>
              <c:f>Sheet4!$D$5:$D$7</c:f>
              <c:numCache>
                <c:formatCode>General</c:formatCode>
                <c:ptCount val="2"/>
                <c:pt idx="0">
                  <c:v>45</c:v>
                </c:pt>
                <c:pt idx="1">
                  <c:v>18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959-B34B-AE4B-644DB01389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5227752"/>
        <c:axId val="285228144"/>
      </c:barChart>
      <c:catAx>
        <c:axId val="285227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228144"/>
        <c:crosses val="autoZero"/>
        <c:auto val="1"/>
        <c:lblAlgn val="ctr"/>
        <c:lblOffset val="100"/>
        <c:noMultiLvlLbl val="0"/>
      </c:catAx>
      <c:valAx>
        <c:axId val="285228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227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6329512"/>
        <c:axId val="286329904"/>
      </c:lineChart>
      <c:catAx>
        <c:axId val="2863295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329904"/>
        <c:crosses val="autoZero"/>
        <c:auto val="1"/>
        <c:lblAlgn val="ctr"/>
        <c:lblOffset val="100"/>
        <c:noMultiLvlLbl val="0"/>
      </c:catAx>
      <c:valAx>
        <c:axId val="28632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329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117475</xdr:colOff>
      <xdr:row>14</xdr:row>
      <xdr:rowOff>19050</xdr:rowOff>
    </xdr:from>
    <xdr:to>
      <xdr:col>14</xdr:col>
      <xdr:colOff>168275</xdr:colOff>
      <xdr:row>29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1250950</xdr:colOff>
      <xdr:row>17</xdr:row>
      <xdr:rowOff>88900</xdr:rowOff>
    </xdr:from>
    <xdr:to>
      <xdr:col>4</xdr:col>
      <xdr:colOff>1085850</xdr:colOff>
      <xdr:row>32</xdr:row>
      <xdr:rowOff>69850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3175</xdr:colOff>
      <xdr:row>7</xdr:row>
      <xdr:rowOff>82550</xdr:rowOff>
    </xdr:from>
    <xdr:to>
      <xdr:col>6</xdr:col>
      <xdr:colOff>168275</xdr:colOff>
      <xdr:row>22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244475</xdr:colOff>
      <xdr:row>9</xdr:row>
      <xdr:rowOff>19050</xdr:rowOff>
    </xdr:from>
    <xdr:to>
      <xdr:col>16</xdr:col>
      <xdr:colOff>549275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561975</xdr:colOff>
      <xdr:row>9</xdr:row>
      <xdr:rowOff>19050</xdr:rowOff>
    </xdr:from>
    <xdr:to>
      <xdr:col>15</xdr:col>
      <xdr:colOff>257175</xdr:colOff>
      <xdr:row>24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lper" refreshedDate="43288.360373495372" createdVersion="5" refreshedVersion="5" minRefreshableVersion="3" recordCount="2">
  <cacheSource type="worksheet">
    <worksheetSource ref="B1:F3" sheet="Sheet3"/>
  </cacheSource>
  <cacheFields count="5">
    <cacheField name="Lead time" numFmtId="0">
      <sharedItems count="2">
        <s v="Client Lead Time 1"/>
        <s v="CEO Lead Time 20"/>
      </sharedItems>
    </cacheField>
    <cacheField name="Batch 20" numFmtId="0">
      <sharedItems containsSemiMixedTypes="0" containsString="0" containsNumber="1" containsInteger="1" minValue="18" maxValue="45" count="2">
        <n v="18"/>
        <n v="45"/>
      </sharedItems>
    </cacheField>
    <cacheField name="Batch 5" numFmtId="0">
      <sharedItems containsSemiMixedTypes="0" containsString="0" containsNumber="1" containsInteger="1" minValue="17" maxValue="45" count="2">
        <n v="17"/>
        <n v="45"/>
      </sharedItems>
    </cacheField>
    <cacheField name="Batch 1 push" numFmtId="0">
      <sharedItems containsSemiMixedTypes="0" containsString="0" containsNumber="1" containsInteger="1" minValue="34" maxValue="55"/>
    </cacheField>
    <cacheField name="Batch 1 pull" numFmtId="0">
      <sharedItems containsSemiMixedTypes="0" containsString="0" containsNumber="1" containsInteger="1" minValue="12" maxValue="3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">
  <r>
    <x v="0"/>
    <x v="0"/>
    <x v="0"/>
    <n v="34"/>
    <n v="12"/>
  </r>
  <r>
    <x v="1"/>
    <x v="1"/>
    <x v="1"/>
    <n v="55"/>
    <n v="3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2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">
  <location ref="C4:D7" firstHeaderRow="1" firstDataRow="1" firstDataCol="1"/>
  <pivotFields count="5">
    <pivotField axis="axisRow" showAll="0">
      <items count="3">
        <item x="1"/>
        <item x="0"/>
        <item t="default"/>
      </items>
    </pivotField>
    <pivotField dataField="1"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Batch 20" fld="1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tabSelected="1" workbookViewId="0">
      <selection activeCell="F24" sqref="F24"/>
    </sheetView>
  </sheetViews>
  <sheetFormatPr defaultColWidth="8.85546875" defaultRowHeight="15" x14ac:dyDescent="0.25"/>
  <cols>
    <col min="1" max="1" width="18.85546875" customWidth="1"/>
    <col min="2" max="2" width="20.28515625" customWidth="1"/>
    <col min="3" max="3" width="16.28515625" customWidth="1"/>
    <col min="4" max="4" width="15.7109375" customWidth="1"/>
    <col min="5" max="5" width="17.28515625" customWidth="1"/>
    <col min="6" max="6" width="14.85546875" customWidth="1"/>
    <col min="10" max="10" width="12.28515625" bestFit="1" customWidth="1"/>
  </cols>
  <sheetData>
    <row r="1" spans="1:12" x14ac:dyDescent="0.25">
      <c r="A1" s="17" t="s">
        <v>7</v>
      </c>
      <c r="B1" s="18">
        <v>20000</v>
      </c>
    </row>
    <row r="3" spans="1:12" ht="15" customHeight="1" x14ac:dyDescent="0.25">
      <c r="B3" s="2"/>
      <c r="C3" s="2" t="s">
        <v>19</v>
      </c>
      <c r="D3" s="2" t="s">
        <v>18</v>
      </c>
      <c r="E3" s="2" t="s">
        <v>21</v>
      </c>
      <c r="F3" s="2" t="s">
        <v>2</v>
      </c>
    </row>
    <row r="4" spans="1:12" x14ac:dyDescent="0.25">
      <c r="B4" t="s">
        <v>3</v>
      </c>
      <c r="C4" s="3">
        <v>105</v>
      </c>
      <c r="D4" s="3">
        <v>105</v>
      </c>
      <c r="E4" s="3">
        <f>ROUNDDOWN(365/D4,0)</f>
        <v>3</v>
      </c>
      <c r="F4" s="16">
        <f>E4*B1</f>
        <v>60000</v>
      </c>
    </row>
    <row r="5" spans="1:12" x14ac:dyDescent="0.25">
      <c r="B5" t="s">
        <v>4</v>
      </c>
      <c r="C5" s="3">
        <v>28</v>
      </c>
      <c r="D5" s="3">
        <v>10</v>
      </c>
      <c r="E5" s="3">
        <f t="shared" ref="E5:E8" si="0">ROUNDDOWN(365/D5,0)</f>
        <v>36</v>
      </c>
      <c r="F5" s="16">
        <f>E5*B1</f>
        <v>720000</v>
      </c>
    </row>
    <row r="6" spans="1:12" x14ac:dyDescent="0.25">
      <c r="B6" t="s">
        <v>5</v>
      </c>
      <c r="C6" s="3">
        <v>28</v>
      </c>
      <c r="D6" s="3">
        <v>4</v>
      </c>
      <c r="E6" s="3">
        <f t="shared" si="0"/>
        <v>91</v>
      </c>
      <c r="F6" s="16">
        <f>E6*B1</f>
        <v>1820000</v>
      </c>
    </row>
    <row r="7" spans="1:12" x14ac:dyDescent="0.25">
      <c r="B7" t="s">
        <v>6</v>
      </c>
      <c r="C7" s="3">
        <v>35</v>
      </c>
      <c r="D7" s="3">
        <v>5</v>
      </c>
      <c r="E7" s="3">
        <f t="shared" si="0"/>
        <v>73</v>
      </c>
      <c r="F7" s="16">
        <f>E7*B1</f>
        <v>1460000</v>
      </c>
    </row>
    <row r="8" spans="1:12" x14ac:dyDescent="0.25">
      <c r="A8" t="s">
        <v>23</v>
      </c>
      <c r="B8" t="s">
        <v>22</v>
      </c>
      <c r="C8" s="3"/>
      <c r="D8" s="3"/>
      <c r="E8" s="3"/>
      <c r="F8" s="16"/>
    </row>
    <row r="11" spans="1:12" x14ac:dyDescent="0.25">
      <c r="B11" s="1" t="s">
        <v>20</v>
      </c>
      <c r="C11" s="1" t="s">
        <v>8</v>
      </c>
      <c r="D11" s="1" t="s">
        <v>10</v>
      </c>
      <c r="E11" s="1" t="s">
        <v>17</v>
      </c>
      <c r="F11" s="1" t="s">
        <v>9</v>
      </c>
    </row>
    <row r="12" spans="1:12" x14ac:dyDescent="0.25">
      <c r="B12" t="s">
        <v>3</v>
      </c>
      <c r="C12">
        <v>25</v>
      </c>
      <c r="D12">
        <v>16</v>
      </c>
      <c r="E12">
        <v>17</v>
      </c>
      <c r="F12" s="19"/>
      <c r="J12" s="4"/>
      <c r="K12" s="5"/>
      <c r="L12" s="6"/>
    </row>
    <row r="13" spans="1:12" x14ac:dyDescent="0.25">
      <c r="B13" t="s">
        <v>4</v>
      </c>
      <c r="C13">
        <v>18</v>
      </c>
      <c r="D13">
        <v>19</v>
      </c>
      <c r="E13">
        <v>18</v>
      </c>
      <c r="F13" s="19"/>
      <c r="J13" s="7"/>
      <c r="K13" s="8"/>
      <c r="L13" s="9"/>
    </row>
    <row r="14" spans="1:12" x14ac:dyDescent="0.25">
      <c r="B14" t="s">
        <v>5</v>
      </c>
      <c r="C14">
        <v>26</v>
      </c>
      <c r="D14">
        <v>25</v>
      </c>
      <c r="E14">
        <v>25</v>
      </c>
      <c r="F14" s="19"/>
      <c r="J14" s="7"/>
      <c r="K14" s="8"/>
      <c r="L14" s="9"/>
    </row>
    <row r="15" spans="1:12" x14ac:dyDescent="0.25">
      <c r="B15" t="s">
        <v>6</v>
      </c>
      <c r="C15">
        <v>38</v>
      </c>
      <c r="D15">
        <v>38</v>
      </c>
      <c r="E15">
        <v>37</v>
      </c>
      <c r="F15" s="19"/>
      <c r="J15" s="7"/>
      <c r="K15" s="8"/>
      <c r="L15" s="9"/>
    </row>
    <row r="16" spans="1:12" x14ac:dyDescent="0.25">
      <c r="J16" s="7"/>
      <c r="K16" s="8"/>
      <c r="L16" s="9"/>
    </row>
    <row r="17" spans="10:12" x14ac:dyDescent="0.25">
      <c r="J17" s="7"/>
      <c r="K17" s="8"/>
      <c r="L17" s="9"/>
    </row>
    <row r="18" spans="10:12" x14ac:dyDescent="0.25">
      <c r="J18" s="7"/>
      <c r="K18" s="8"/>
      <c r="L18" s="9"/>
    </row>
    <row r="19" spans="10:12" x14ac:dyDescent="0.25">
      <c r="J19" s="7"/>
      <c r="K19" s="8"/>
      <c r="L19" s="9"/>
    </row>
    <row r="20" spans="10:12" x14ac:dyDescent="0.25">
      <c r="J20" s="7"/>
      <c r="K20" s="8"/>
      <c r="L20" s="9"/>
    </row>
    <row r="21" spans="10:12" x14ac:dyDescent="0.25">
      <c r="J21" s="7"/>
      <c r="K21" s="8"/>
      <c r="L21" s="9"/>
    </row>
    <row r="22" spans="10:12" x14ac:dyDescent="0.25">
      <c r="J22" s="7"/>
      <c r="K22" s="8"/>
      <c r="L22" s="9"/>
    </row>
    <row r="23" spans="10:12" x14ac:dyDescent="0.25">
      <c r="J23" s="7"/>
      <c r="K23" s="8"/>
      <c r="L23" s="9"/>
    </row>
    <row r="24" spans="10:12" x14ac:dyDescent="0.25">
      <c r="J24" s="7"/>
      <c r="K24" s="8"/>
      <c r="L24" s="9"/>
    </row>
    <row r="25" spans="10:12" x14ac:dyDescent="0.25">
      <c r="J25" s="7"/>
      <c r="K25" s="8"/>
      <c r="L25" s="9"/>
    </row>
    <row r="26" spans="10:12" x14ac:dyDescent="0.25">
      <c r="J26" s="7"/>
      <c r="K26" s="8"/>
      <c r="L26" s="9"/>
    </row>
    <row r="27" spans="10:12" x14ac:dyDescent="0.25">
      <c r="J27" s="7"/>
      <c r="K27" s="8"/>
      <c r="L27" s="9"/>
    </row>
    <row r="28" spans="10:12" x14ac:dyDescent="0.25">
      <c r="J28" s="7"/>
      <c r="K28" s="8"/>
      <c r="L28" s="9"/>
    </row>
    <row r="29" spans="10:12" x14ac:dyDescent="0.25">
      <c r="J29" s="10"/>
      <c r="K29" s="11"/>
      <c r="L29" s="12"/>
    </row>
  </sheetData>
  <pageMargins left="0.7" right="0.7" top="0.75" bottom="0.75" header="0.3" footer="0.3"/>
  <pageSetup paperSize="9" orientation="portrait" r:id="rId1"/>
  <headerFooter>
    <oddFooter>&amp;R&amp;1#&amp;"Calibri"&amp;10 C3 - Safaricom Confidential Internal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8"/>
  <sheetViews>
    <sheetView workbookViewId="0">
      <selection activeCell="K12" sqref="K12"/>
    </sheetView>
  </sheetViews>
  <sheetFormatPr defaultColWidth="8.85546875" defaultRowHeight="15" x14ac:dyDescent="0.25"/>
  <cols>
    <col min="2" max="2" width="23.85546875" customWidth="1"/>
    <col min="5" max="5" width="13.140625" customWidth="1"/>
  </cols>
  <sheetData>
    <row r="1" spans="2:9" x14ac:dyDescent="0.25">
      <c r="B1" s="2" t="s">
        <v>13</v>
      </c>
      <c r="C1" t="s">
        <v>3</v>
      </c>
      <c r="D1" t="s">
        <v>4</v>
      </c>
      <c r="E1" t="s">
        <v>5</v>
      </c>
      <c r="F1" t="s">
        <v>6</v>
      </c>
      <c r="G1" t="s">
        <v>15</v>
      </c>
    </row>
    <row r="2" spans="2:9" x14ac:dyDescent="0.25">
      <c r="B2" s="2" t="s">
        <v>0</v>
      </c>
      <c r="C2" s="3">
        <f>Sheet1!C4</f>
        <v>105</v>
      </c>
      <c r="D2" s="3">
        <f>Sheet1!C5</f>
        <v>28</v>
      </c>
      <c r="E2" s="3">
        <f>Sheet1!C6</f>
        <v>28</v>
      </c>
      <c r="F2" s="3">
        <f>Sheet1!C7</f>
        <v>35</v>
      </c>
      <c r="G2" s="3"/>
    </row>
    <row r="3" spans="2:9" x14ac:dyDescent="0.25">
      <c r="B3" s="2" t="s">
        <v>1</v>
      </c>
      <c r="C3" s="3">
        <f>Sheet1!D4</f>
        <v>105</v>
      </c>
      <c r="D3" s="3">
        <f>Sheet1!D5</f>
        <v>10</v>
      </c>
      <c r="E3" s="3">
        <f>Sheet1!D6</f>
        <v>4</v>
      </c>
      <c r="F3" s="3">
        <f>Sheet1!D7</f>
        <v>5</v>
      </c>
      <c r="G3" s="3"/>
    </row>
    <row r="8" spans="2:9" x14ac:dyDescent="0.25">
      <c r="I8" t="s">
        <v>16</v>
      </c>
    </row>
  </sheetData>
  <pageMargins left="0.7" right="0.7" top="0.75" bottom="0.75" header="0.3" footer="0.3"/>
  <pageSetup paperSize="9" orientation="portrait" r:id="rId1"/>
  <headerFooter>
    <oddFooter>&amp;R&amp;1#&amp;"Calibri"&amp;10 C3 - Safaricom Confidential Internal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D7"/>
  <sheetViews>
    <sheetView workbookViewId="0">
      <selection activeCell="H4" sqref="H4"/>
    </sheetView>
  </sheetViews>
  <sheetFormatPr defaultColWidth="8.85546875" defaultRowHeight="15" x14ac:dyDescent="0.25"/>
  <cols>
    <col min="3" max="3" width="21" customWidth="1"/>
    <col min="4" max="4" width="14.28515625" customWidth="1"/>
  </cols>
  <sheetData>
    <row r="4" spans="3:4" x14ac:dyDescent="0.25">
      <c r="C4" s="13" t="s">
        <v>11</v>
      </c>
      <c r="D4" t="s">
        <v>14</v>
      </c>
    </row>
    <row r="5" spans="3:4" x14ac:dyDescent="0.25">
      <c r="C5" s="14" t="s">
        <v>1</v>
      </c>
      <c r="D5" s="15">
        <v>45</v>
      </c>
    </row>
    <row r="6" spans="3:4" x14ac:dyDescent="0.25">
      <c r="C6" s="14" t="s">
        <v>0</v>
      </c>
      <c r="D6" s="15">
        <v>18</v>
      </c>
    </row>
    <row r="7" spans="3:4" x14ac:dyDescent="0.25">
      <c r="C7" s="14" t="s">
        <v>12</v>
      </c>
      <c r="D7" s="15">
        <v>63</v>
      </c>
    </row>
  </sheetData>
  <pageMargins left="0.7" right="0.7" top="0.75" bottom="0.75" header="0.3" footer="0.3"/>
  <pageSetup paperSize="9" orientation="portrait" r:id="rId2"/>
  <headerFooter>
    <oddFooter>&amp;R&amp;1#&amp;"Calibri"&amp;10 C3 - Safaricom Confidential Internal</odd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alper</dc:creator>
  <cp:lastModifiedBy>Gladys Ngweno</cp:lastModifiedBy>
  <dcterms:created xsi:type="dcterms:W3CDTF">2018-07-05T10:43:06Z</dcterms:created>
  <dcterms:modified xsi:type="dcterms:W3CDTF">2019-01-23T06:31:14Z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f7a6da8-cc4b-4ad4-9c5c-493d3fea8a87_Enabled">
    <vt:lpwstr>True</vt:lpwstr>
  </property>
  <property fmtid="{D5CDD505-2E9C-101B-9397-08002B2CF9AE}" pid="3" name="MSIP_Label_df7a6da8-cc4b-4ad4-9c5c-493d3fea8a87_SiteId">
    <vt:lpwstr>19a4db07-607d-475f-a518-0e3b699ac7d0</vt:lpwstr>
  </property>
  <property fmtid="{D5CDD505-2E9C-101B-9397-08002B2CF9AE}" pid="4" name="MSIP_Label_df7a6da8-cc4b-4ad4-9c5c-493d3fea8a87_Owner">
    <vt:lpwstr>GNGWENO@safaricom.co.ke</vt:lpwstr>
  </property>
  <property fmtid="{D5CDD505-2E9C-101B-9397-08002B2CF9AE}" pid="5" name="MSIP_Label_df7a6da8-cc4b-4ad4-9c5c-493d3fea8a87_SetDate">
    <vt:lpwstr>2019-01-23T06:29:50.7988013Z</vt:lpwstr>
  </property>
  <property fmtid="{D5CDD505-2E9C-101B-9397-08002B2CF9AE}" pid="6" name="MSIP_Label_df7a6da8-cc4b-4ad4-9c5c-493d3fea8a87_Name">
    <vt:lpwstr>C3 - Safaricom Confidential</vt:lpwstr>
  </property>
  <property fmtid="{D5CDD505-2E9C-101B-9397-08002B2CF9AE}" pid="7" name="MSIP_Label_df7a6da8-cc4b-4ad4-9c5c-493d3fea8a87_Application">
    <vt:lpwstr>Microsoft Azure Information Protection</vt:lpwstr>
  </property>
  <property fmtid="{D5CDD505-2E9C-101B-9397-08002B2CF9AE}" pid="8" name="MSIP_Label_df7a6da8-cc4b-4ad4-9c5c-493d3fea8a87_Extended_MSFT_Method">
    <vt:lpwstr>Automatic</vt:lpwstr>
  </property>
  <property fmtid="{D5CDD505-2E9C-101B-9397-08002B2CF9AE}" pid="9" name="MSIP_Label_82c0a4aa-8a3d-464e-a6be-9b4d98058257_Enabled">
    <vt:lpwstr>True</vt:lpwstr>
  </property>
  <property fmtid="{D5CDD505-2E9C-101B-9397-08002B2CF9AE}" pid="10" name="MSIP_Label_82c0a4aa-8a3d-464e-a6be-9b4d98058257_SiteId">
    <vt:lpwstr>19a4db07-607d-475f-a518-0e3b699ac7d0</vt:lpwstr>
  </property>
  <property fmtid="{D5CDD505-2E9C-101B-9397-08002B2CF9AE}" pid="11" name="MSIP_Label_82c0a4aa-8a3d-464e-a6be-9b4d98058257_Owner">
    <vt:lpwstr>GNGWENO@safaricom.co.ke</vt:lpwstr>
  </property>
  <property fmtid="{D5CDD505-2E9C-101B-9397-08002B2CF9AE}" pid="12" name="MSIP_Label_82c0a4aa-8a3d-464e-a6be-9b4d98058257_SetDate">
    <vt:lpwstr>2019-01-23T06:29:50.7988013Z</vt:lpwstr>
  </property>
  <property fmtid="{D5CDD505-2E9C-101B-9397-08002B2CF9AE}" pid="13" name="MSIP_Label_82c0a4aa-8a3d-464e-a6be-9b4d98058257_Name">
    <vt:lpwstr>C3 - Safaricom Confidential Internal</vt:lpwstr>
  </property>
  <property fmtid="{D5CDD505-2E9C-101B-9397-08002B2CF9AE}" pid="14" name="MSIP_Label_82c0a4aa-8a3d-464e-a6be-9b4d98058257_Application">
    <vt:lpwstr>Microsoft Azure Information Protection</vt:lpwstr>
  </property>
  <property fmtid="{D5CDD505-2E9C-101B-9397-08002B2CF9AE}" pid="15" name="MSIP_Label_82c0a4aa-8a3d-464e-a6be-9b4d98058257_Parent">
    <vt:lpwstr>df7a6da8-cc4b-4ad4-9c5c-493d3fea8a87</vt:lpwstr>
  </property>
  <property fmtid="{D5CDD505-2E9C-101B-9397-08002B2CF9AE}" pid="16" name="MSIP_Label_82c0a4aa-8a3d-464e-a6be-9b4d98058257_Extended_MSFT_Method">
    <vt:lpwstr>Automatic</vt:lpwstr>
  </property>
  <property fmtid="{D5CDD505-2E9C-101B-9397-08002B2CF9AE}" pid="17" name="Sensitivity">
    <vt:lpwstr>C3 - Safaricom Confidential C3 - Safaricom Confidential Internal</vt:lpwstr>
  </property>
</Properties>
</file>